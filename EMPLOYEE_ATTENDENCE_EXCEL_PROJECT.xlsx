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MONTH">Sheet2!$A$1:$A$12</definedName>
  </definedNames>
  <calcPr calcId="152511"/>
</workbook>
</file>

<file path=xl/calcChain.xml><?xml version="1.0" encoding="utf-8"?>
<calcChain xmlns="http://schemas.openxmlformats.org/spreadsheetml/2006/main">
  <c r="AJ9" i="1" l="1"/>
  <c r="AK9" i="1" s="1"/>
  <c r="AJ10" i="1"/>
  <c r="AK10" i="1" s="1"/>
  <c r="AJ11" i="1"/>
  <c r="AK11" i="1" s="1"/>
  <c r="AJ12" i="1"/>
  <c r="AK12" i="1" s="1"/>
  <c r="AJ13" i="1"/>
  <c r="AK13" i="1" s="1"/>
  <c r="AJ14" i="1"/>
  <c r="AK14" i="1" s="1"/>
  <c r="AJ15" i="1"/>
  <c r="AK15" i="1" s="1"/>
  <c r="AJ16" i="1"/>
  <c r="AK16" i="1" s="1"/>
  <c r="AJ17" i="1"/>
  <c r="AK17" i="1" s="1"/>
  <c r="AJ8" i="1"/>
  <c r="AK8" i="1" s="1"/>
  <c r="F4" i="1" l="1"/>
  <c r="J4" i="1" s="1"/>
  <c r="E6" i="1" l="1"/>
  <c r="F6" i="1" s="1"/>
  <c r="G6" i="1" s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E7" i="1" l="1"/>
  <c r="F7" i="1" l="1"/>
  <c r="G7" i="1" l="1"/>
  <c r="H7" i="1" l="1"/>
  <c r="I7" i="1" l="1"/>
  <c r="J7" i="1" l="1"/>
  <c r="K7" i="1" l="1"/>
  <c r="L7" i="1" l="1"/>
  <c r="M7" i="1" l="1"/>
  <c r="N7" i="1" l="1"/>
  <c r="O7" i="1" l="1"/>
  <c r="P7" i="1" l="1"/>
  <c r="Q7" i="1" l="1"/>
  <c r="R7" i="1" l="1"/>
  <c r="S7" i="1" l="1"/>
  <c r="T7" i="1" l="1"/>
  <c r="U7" i="1" l="1"/>
  <c r="V7" i="1" l="1"/>
  <c r="W7" i="1" l="1"/>
  <c r="X7" i="1" l="1"/>
  <c r="Y7" i="1" l="1"/>
  <c r="Z7" i="1" l="1"/>
  <c r="AA7" i="1" l="1"/>
  <c r="AB7" i="1" l="1"/>
  <c r="AC7" i="1" l="1"/>
  <c r="AD7" i="1" l="1"/>
  <c r="AE7" i="1" l="1"/>
  <c r="AF7" i="1" l="1"/>
  <c r="AG7" i="1" l="1"/>
  <c r="AI7" i="1" l="1"/>
  <c r="AH7" i="1"/>
</calcChain>
</file>

<file path=xl/sharedStrings.xml><?xml version="1.0" encoding="utf-8"?>
<sst xmlns="http://schemas.openxmlformats.org/spreadsheetml/2006/main" count="323" uniqueCount="54">
  <si>
    <t>EMPLOYEE ATTENDENCE SHEET - SHAHNAWAZ ACADEMY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</si>
  <si>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</si>
  <si>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</si>
  <si>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</si>
  <si>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</si>
  <si>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</si>
  <si>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</si>
  <si>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</si>
  <si>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</si>
  <si>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</si>
  <si>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</si>
  <si>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</si>
  <si>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</si>
  <si>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</si>
  <si>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EMP ID</t>
  </si>
  <si>
    <t>EMP NAME</t>
  </si>
  <si>
    <t>DESIGNATION</t>
  </si>
  <si>
    <t>DATE</t>
  </si>
  <si>
    <t>DAY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</si>
  <si>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</si>
  <si>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</si>
  <si>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</si>
  <si>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</si>
  <si>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</si>
  <si>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</si>
  <si>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</si>
  <si>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</si>
  <si>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</si>
  <si>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</si>
  <si>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SHAHNAWAZ</t>
  </si>
  <si>
    <t>SHAHID</t>
  </si>
  <si>
    <t>SHAMIM</t>
  </si>
  <si>
    <t>FAIZAN</t>
  </si>
  <si>
    <t>QASIM</t>
  </si>
  <si>
    <t>ASIM</t>
  </si>
  <si>
    <t>NIZAM</t>
  </si>
  <si>
    <t>GULFAM</t>
  </si>
  <si>
    <t>GHAZANFAR</t>
  </si>
  <si>
    <t>IMRAN</t>
  </si>
  <si>
    <t>ACCOUNTANT</t>
  </si>
  <si>
    <t>CLERK</t>
  </si>
  <si>
    <t>MANAGER</t>
  </si>
  <si>
    <t>TECHNICIAN</t>
  </si>
  <si>
    <t>SUPERVISIOR</t>
  </si>
  <si>
    <t>HR EXECUTIVE</t>
  </si>
  <si>
    <t>OFFICE ASSISTANT</t>
  </si>
  <si>
    <t>RECEPTIONIST</t>
  </si>
  <si>
    <t>DATA ANALYST</t>
  </si>
  <si>
    <t>GRAPHIC DESIGNER</t>
  </si>
  <si>
    <t>TO</t>
  </si>
  <si>
    <t>ABSENT</t>
  </si>
  <si>
    <t>PRESENT</t>
  </si>
  <si>
    <t>P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</si>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</sst>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212529"/>
      <name val="Segoe UI"/>
      <family val="2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9F5FF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rgb="FFDCED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1" fillId="3" borderId="1" xfId="0" applyFont="1" applyFill="1" applyBorder="1" applyAlignment="1">
      <alignment wrapText="1"/>
    </xf>
    <xf numFmtId="0" fontId="0" fillId="0" borderId="1" xfId="0" applyBorder="1"/>
    <xf numFmtId="0" fontId="5" fillId="2" borderId="0" xfId="0" applyFont="1" applyFill="1" applyBorder="1" applyAlignment="1">
      <alignment horizontal="center" vertical="center"/>
    </xf>
    <xf numFmtId="0" fontId="4" fillId="6" borderId="1" xfId="0" applyFont="1" applyFill="1" applyBorder="1"/>
    <xf numFmtId="14" fontId="1" fillId="6" borderId="0" xfId="0" applyNumberFormat="1" applyFont="1" applyFill="1"/>
    <xf numFmtId="0" fontId="3" fillId="5" borderId="1" xfId="0" applyFont="1" applyFill="1" applyBorder="1"/>
    <xf numFmtId="14" fontId="1" fillId="5" borderId="0" xfId="0" applyNumberFormat="1" applyFont="1" applyFill="1"/>
    <xf numFmtId="164" fontId="1" fillId="4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57">
    <dxf>
      <fill>
        <patternFill>
          <bgColor rgb="FFD2B47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E6C88C"/>
        </patternFill>
      </fill>
    </dxf>
    <dxf>
      <fill>
        <patternFill>
          <bgColor rgb="FFFFF2CC"/>
        </patternFill>
      </fill>
    </dxf>
    <dxf>
      <fill>
        <patternFill>
          <bgColor rgb="FFD2B47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E6C88C"/>
        </patternFill>
      </fill>
    </dxf>
    <dxf>
      <fill>
        <patternFill>
          <bgColor rgb="FFFFF2CC"/>
        </patternFill>
      </fill>
    </dxf>
    <dxf>
      <fill>
        <patternFill>
          <bgColor rgb="FFD2B47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E6C88C"/>
        </patternFill>
      </fill>
    </dxf>
    <dxf>
      <fill>
        <patternFill>
          <bgColor rgb="FFFFF2CC"/>
        </patternFill>
      </fill>
    </dxf>
    <dxf>
      <fill>
        <patternFill>
          <bgColor rgb="FFD2B47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E6C88C"/>
        </patternFill>
      </fill>
    </dxf>
    <dxf>
      <fill>
        <patternFill>
          <bgColor rgb="FFFFF2CC"/>
        </patternFill>
      </fill>
    </dxf>
    <dxf>
      <fill>
        <patternFill>
          <bgColor rgb="FFD2B47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E6C88C"/>
        </patternFill>
      </fill>
    </dxf>
    <dxf>
      <fill>
        <patternFill>
          <bgColor rgb="FFFFF2CC"/>
        </patternFill>
      </fill>
    </dxf>
    <dxf>
      <fill>
        <patternFill>
          <bgColor rgb="FFD2B47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E6C88C"/>
        </patternFill>
      </fill>
    </dxf>
    <dxf>
      <fill>
        <patternFill>
          <bgColor rgb="FFFFF2CC"/>
        </patternFill>
      </fill>
    </dxf>
    <dxf>
      <fill>
        <patternFill>
          <bgColor rgb="FFD2B47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E6C88C"/>
        </patternFill>
      </fill>
    </dxf>
    <dxf>
      <fill>
        <patternFill>
          <bgColor rgb="FFFFF2CC"/>
        </patternFill>
      </fill>
    </dxf>
    <dxf>
      <fill>
        <patternFill>
          <bgColor rgb="FFD2B47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E6C88C"/>
        </patternFill>
      </fill>
    </dxf>
    <dxf>
      <fill>
        <patternFill>
          <bgColor rgb="FFFFF2CC"/>
        </patternFill>
      </fill>
    </dxf>
    <dxf>
      <fill>
        <patternFill>
          <bgColor rgb="FFD2B47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E6C88C"/>
        </patternFill>
      </fill>
    </dxf>
    <dxf>
      <fill>
        <patternFill>
          <bgColor rgb="FFFFF2CC"/>
        </patternFill>
      </fill>
    </dxf>
    <dxf>
      <fill>
        <patternFill>
          <bgColor rgb="FFD2B47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E6C88C"/>
        </patternFill>
      </fill>
    </dxf>
    <dxf>
      <fill>
        <patternFill>
          <bgColor rgb="FFFFF2CC"/>
        </patternFill>
      </fill>
    </dxf>
    <dxf>
      <fill>
        <patternFill>
          <bgColor rgb="FFD2B478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E6C88C"/>
        </patternFill>
      </fill>
    </dxf>
    <dxf>
      <fill>
        <patternFill>
          <bgColor rgb="FFE6C88C"/>
        </patternFill>
      </fill>
    </dxf>
    <dxf>
      <fill>
        <patternFill>
          <bgColor rgb="FFFFC000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Medium9"/>
  <colors>
    <mruColors>
      <color rgb="FFD2B478"/>
      <color rgb="FFE6C88C"/>
      <color rgb="FFF0F0F0"/>
      <color rgb="FFFFF3CD"/>
      <color rgb="FFE0FFFF"/>
      <color rgb="FFDCEDC8"/>
      <color rgb="FFFFD6D6"/>
      <color rgb="FFFFF2CC"/>
      <color rgb="FFF0F8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tabSelected="1" zoomScaleNormal="100" workbookViewId="0">
      <selection activeCell="G26" sqref="G26"/>
    </sheetView>
  </sheetViews>
  <sheetFormatPr defaultRowHeight="15" x14ac:dyDescent="0.25"/>
  <cols>
    <col min="1" max="1" width="9.28515625" customWidth="1"/>
    <col min="2" max="2" width="12.7109375" bestFit="1" customWidth="1"/>
    <col min="3" max="3" width="18.28515625" bestFit="1" customWidth="1"/>
    <col min="4" max="4" width="5.5703125" bestFit="1" customWidth="1"/>
    <col min="5" max="5" width="10.42578125" bestFit="1" customWidth="1"/>
    <col min="6" max="6" width="14.85546875" bestFit="1" customWidth="1"/>
    <col min="9" max="9" width="9.28515625" customWidth="1"/>
    <col min="10" max="10" width="14.85546875" bestFit="1" customWidth="1"/>
    <col min="35" max="35" width="9.140625" customWidth="1"/>
    <col min="36" max="36" width="10" bestFit="1" customWidth="1"/>
    <col min="37" max="37" width="11.28515625" bestFit="1" customWidth="1"/>
  </cols>
  <sheetData>
    <row r="1" spans="1:37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</row>
    <row r="2" spans="1:37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</row>
    <row r="4" spans="1:37" ht="15.75" x14ac:dyDescent="0.25">
      <c r="A4" s="5" t="s">
        <v>1</v>
      </c>
      <c r="B4" s="7" t="s">
        <v>2</v>
      </c>
      <c r="F4" s="6">
        <f>DATEVALUE("1"&amp;B4&amp;"2025")</f>
        <v>45658</v>
      </c>
      <c r="H4" s="4" t="s">
        <v>49</v>
      </c>
      <c r="J4" s="8">
        <f>EOMONTH(F4,0)</f>
        <v>45688</v>
      </c>
    </row>
    <row r="6" spans="1:37" ht="15.75" customHeight="1" x14ac:dyDescent="0.25">
      <c r="A6" s="14" t="s">
        <v>14</v>
      </c>
      <c r="B6" s="14" t="s">
        <v>15</v>
      </c>
      <c r="C6" s="14" t="s">
        <v>16</v>
      </c>
      <c r="D6" s="2" t="s">
        <v>17</v>
      </c>
      <c r="E6" s="9">
        <f>F4</f>
        <v>45658</v>
      </c>
      <c r="F6" s="9">
        <f>IF(E6&lt;$J$4,E6+1,"")</f>
        <v>45659</v>
      </c>
      <c r="G6" s="9">
        <f t="shared" ref="G6:AI6" si="0">IF(F6&lt;$J$4,F6+1,"")</f>
        <v>45660</v>
      </c>
      <c r="H6" s="9">
        <f t="shared" si="0"/>
        <v>45661</v>
      </c>
      <c r="I6" s="9">
        <f t="shared" si="0"/>
        <v>45662</v>
      </c>
      <c r="J6" s="9">
        <f t="shared" si="0"/>
        <v>45663</v>
      </c>
      <c r="K6" s="9">
        <f t="shared" si="0"/>
        <v>45664</v>
      </c>
      <c r="L6" s="9">
        <f t="shared" si="0"/>
        <v>45665</v>
      </c>
      <c r="M6" s="9">
        <f t="shared" si="0"/>
        <v>45666</v>
      </c>
      <c r="N6" s="9">
        <f t="shared" si="0"/>
        <v>45667</v>
      </c>
      <c r="O6" s="9">
        <f t="shared" si="0"/>
        <v>45668</v>
      </c>
      <c r="P6" s="9">
        <f t="shared" si="0"/>
        <v>45669</v>
      </c>
      <c r="Q6" s="9">
        <f t="shared" si="0"/>
        <v>45670</v>
      </c>
      <c r="R6" s="9">
        <f t="shared" si="0"/>
        <v>45671</v>
      </c>
      <c r="S6" s="9">
        <f t="shared" si="0"/>
        <v>45672</v>
      </c>
      <c r="T6" s="9">
        <f t="shared" si="0"/>
        <v>45673</v>
      </c>
      <c r="U6" s="9">
        <f t="shared" si="0"/>
        <v>45674</v>
      </c>
      <c r="V6" s="9">
        <f t="shared" si="0"/>
        <v>45675</v>
      </c>
      <c r="W6" s="9">
        <f t="shared" si="0"/>
        <v>45676</v>
      </c>
      <c r="X6" s="9">
        <f t="shared" si="0"/>
        <v>45677</v>
      </c>
      <c r="Y6" s="9">
        <f t="shared" si="0"/>
        <v>45678</v>
      </c>
      <c r="Z6" s="9">
        <f t="shared" si="0"/>
        <v>45679</v>
      </c>
      <c r="AA6" s="9">
        <f t="shared" si="0"/>
        <v>45680</v>
      </c>
      <c r="AB6" s="9">
        <f t="shared" si="0"/>
        <v>45681</v>
      </c>
      <c r="AC6" s="9">
        <f t="shared" si="0"/>
        <v>45682</v>
      </c>
      <c r="AD6" s="9">
        <f t="shared" si="0"/>
        <v>45683</v>
      </c>
      <c r="AE6" s="9">
        <f t="shared" si="0"/>
        <v>45684</v>
      </c>
      <c r="AF6" s="9">
        <f t="shared" si="0"/>
        <v>45685</v>
      </c>
      <c r="AG6" s="9">
        <f>IF(AF6&lt;$J$4,AF6+1,"")</f>
        <v>45686</v>
      </c>
      <c r="AH6" s="9">
        <f t="shared" si="0"/>
        <v>45687</v>
      </c>
      <c r="AI6" s="9">
        <f t="shared" si="0"/>
        <v>45688</v>
      </c>
      <c r="AJ6" s="18" t="s">
        <v>50</v>
      </c>
      <c r="AK6" s="19" t="s">
        <v>51</v>
      </c>
    </row>
    <row r="7" spans="1:37" x14ac:dyDescent="0.25">
      <c r="A7" s="14"/>
      <c r="B7" s="14"/>
      <c r="C7" s="14"/>
      <c r="D7" s="2" t="s">
        <v>18</v>
      </c>
      <c r="E7" s="10" t="str">
        <f>TEXT(E6,"DDD")</f>
        <v>Wed</v>
      </c>
      <c r="F7" s="10" t="str">
        <f t="shared" ref="F7:AI7" si="1">TEXT(F6,"DDD")</f>
        <v>Thu</v>
      </c>
      <c r="G7" s="10" t="str">
        <f t="shared" si="1"/>
        <v>Fri</v>
      </c>
      <c r="H7" s="10" t="str">
        <f t="shared" si="1"/>
        <v>Sat</v>
      </c>
      <c r="I7" s="10" t="str">
        <f t="shared" si="1"/>
        <v>Sun</v>
      </c>
      <c r="J7" s="10" t="str">
        <f t="shared" si="1"/>
        <v>Mon</v>
      </c>
      <c r="K7" s="10" t="str">
        <f t="shared" si="1"/>
        <v>Tue</v>
      </c>
      <c r="L7" s="10" t="str">
        <f t="shared" si="1"/>
        <v>Wed</v>
      </c>
      <c r="M7" s="10" t="str">
        <f t="shared" si="1"/>
        <v>Thu</v>
      </c>
      <c r="N7" s="10" t="str">
        <f t="shared" si="1"/>
        <v>Fri</v>
      </c>
      <c r="O7" s="10" t="str">
        <f t="shared" si="1"/>
        <v>Sat</v>
      </c>
      <c r="P7" s="10" t="str">
        <f t="shared" si="1"/>
        <v>Sun</v>
      </c>
      <c r="Q7" s="10" t="str">
        <f t="shared" si="1"/>
        <v>Mon</v>
      </c>
      <c r="R7" s="10" t="str">
        <f t="shared" si="1"/>
        <v>Tue</v>
      </c>
      <c r="S7" s="10" t="str">
        <f t="shared" si="1"/>
        <v>Wed</v>
      </c>
      <c r="T7" s="10" t="str">
        <f t="shared" si="1"/>
        <v>Thu</v>
      </c>
      <c r="U7" s="10" t="str">
        <f t="shared" si="1"/>
        <v>Fri</v>
      </c>
      <c r="V7" s="10" t="str">
        <f t="shared" si="1"/>
        <v>Sat</v>
      </c>
      <c r="W7" s="10" t="str">
        <f t="shared" si="1"/>
        <v>Sun</v>
      </c>
      <c r="X7" s="10" t="str">
        <f t="shared" si="1"/>
        <v>Mon</v>
      </c>
      <c r="Y7" s="10" t="str">
        <f t="shared" si="1"/>
        <v>Tue</v>
      </c>
      <c r="Z7" s="10" t="str">
        <f t="shared" si="1"/>
        <v>Wed</v>
      </c>
      <c r="AA7" s="10" t="str">
        <f t="shared" si="1"/>
        <v>Thu</v>
      </c>
      <c r="AB7" s="10" t="str">
        <f t="shared" si="1"/>
        <v>Fri</v>
      </c>
      <c r="AC7" s="10" t="str">
        <f t="shared" si="1"/>
        <v>Sat</v>
      </c>
      <c r="AD7" s="10" t="str">
        <f t="shared" si="1"/>
        <v>Sun</v>
      </c>
      <c r="AE7" s="10" t="str">
        <f t="shared" si="1"/>
        <v>Mon</v>
      </c>
      <c r="AF7" s="10" t="str">
        <f t="shared" si="1"/>
        <v>Tue</v>
      </c>
      <c r="AG7" s="10" t="str">
        <f t="shared" si="1"/>
        <v>Wed</v>
      </c>
      <c r="AH7" s="10" t="str">
        <f t="shared" si="1"/>
        <v>Thu</v>
      </c>
      <c r="AI7" s="10" t="str">
        <f t="shared" si="1"/>
        <v>Fri</v>
      </c>
      <c r="AJ7" s="18"/>
      <c r="AK7" s="19"/>
    </row>
    <row r="8" spans="1:37" ht="15.75" x14ac:dyDescent="0.25">
      <c r="A8" s="3" t="s">
        <v>19</v>
      </c>
      <c r="B8" s="3" t="s">
        <v>29</v>
      </c>
      <c r="C8" s="3" t="s">
        <v>39</v>
      </c>
      <c r="D8" s="15"/>
      <c r="E8" s="11" t="s">
        <v>52</v>
      </c>
      <c r="F8" s="11" t="s">
        <v>52</v>
      </c>
      <c r="G8" s="11" t="s">
        <v>52</v>
      </c>
      <c r="H8" s="11" t="s">
        <v>52</v>
      </c>
      <c r="I8" s="11"/>
      <c r="J8" s="11" t="s">
        <v>53</v>
      </c>
      <c r="K8" s="11" t="s">
        <v>52</v>
      </c>
      <c r="L8" s="11" t="s">
        <v>52</v>
      </c>
      <c r="M8" s="11" t="s">
        <v>52</v>
      </c>
      <c r="N8" s="11" t="s">
        <v>52</v>
      </c>
      <c r="O8" s="11" t="s">
        <v>52</v>
      </c>
      <c r="P8" s="11"/>
      <c r="Q8" s="11" t="s">
        <v>53</v>
      </c>
      <c r="R8" s="11" t="s">
        <v>52</v>
      </c>
      <c r="S8" s="11" t="s">
        <v>52</v>
      </c>
      <c r="T8" s="11" t="s">
        <v>52</v>
      </c>
      <c r="U8" s="11" t="s">
        <v>52</v>
      </c>
      <c r="V8" s="11" t="s">
        <v>52</v>
      </c>
      <c r="W8" s="11"/>
      <c r="X8" s="11" t="s">
        <v>53</v>
      </c>
      <c r="Y8" s="11" t="s">
        <v>52</v>
      </c>
      <c r="Z8" s="11" t="s">
        <v>52</v>
      </c>
      <c r="AA8" s="11" t="s">
        <v>52</v>
      </c>
      <c r="AB8" s="11" t="s">
        <v>52</v>
      </c>
      <c r="AC8" s="11" t="s">
        <v>52</v>
      </c>
      <c r="AD8" s="11"/>
      <c r="AE8" s="11" t="s">
        <v>53</v>
      </c>
      <c r="AF8" s="11" t="s">
        <v>52</v>
      </c>
      <c r="AG8" s="11" t="s">
        <v>52</v>
      </c>
      <c r="AH8" s="11" t="s">
        <v>52</v>
      </c>
      <c r="AI8" s="11" t="s">
        <v>53</v>
      </c>
      <c r="AJ8" s="20">
        <f>COUNTIF(E8:AI8,"A")</f>
        <v>5</v>
      </c>
      <c r="AK8" s="20">
        <f>31-AJ8</f>
        <v>26</v>
      </c>
    </row>
    <row r="9" spans="1:37" ht="15.75" x14ac:dyDescent="0.25">
      <c r="A9" s="3" t="s">
        <v>20</v>
      </c>
      <c r="B9" s="3" t="s">
        <v>30</v>
      </c>
      <c r="C9" s="3" t="s">
        <v>40</v>
      </c>
      <c r="D9" s="16"/>
      <c r="E9" s="11" t="s">
        <v>52</v>
      </c>
      <c r="F9" s="11" t="s">
        <v>52</v>
      </c>
      <c r="G9" s="11" t="s">
        <v>52</v>
      </c>
      <c r="H9" s="11" t="s">
        <v>52</v>
      </c>
      <c r="I9" s="11"/>
      <c r="J9" s="11" t="s">
        <v>53</v>
      </c>
      <c r="K9" s="11" t="s">
        <v>52</v>
      </c>
      <c r="L9" s="11" t="s">
        <v>52</v>
      </c>
      <c r="M9" s="11" t="s">
        <v>52</v>
      </c>
      <c r="N9" s="11" t="s">
        <v>52</v>
      </c>
      <c r="O9" s="11" t="s">
        <v>52</v>
      </c>
      <c r="P9" s="11"/>
      <c r="Q9" s="11" t="s">
        <v>53</v>
      </c>
      <c r="R9" s="11" t="s">
        <v>52</v>
      </c>
      <c r="S9" s="11" t="s">
        <v>52</v>
      </c>
      <c r="T9" s="11" t="s">
        <v>52</v>
      </c>
      <c r="U9" s="11" t="s">
        <v>52</v>
      </c>
      <c r="V9" s="11" t="s">
        <v>52</v>
      </c>
      <c r="W9" s="11"/>
      <c r="X9" s="11" t="s">
        <v>53</v>
      </c>
      <c r="Y9" s="11" t="s">
        <v>52</v>
      </c>
      <c r="Z9" s="11" t="s">
        <v>52</v>
      </c>
      <c r="AA9" s="11" t="s">
        <v>52</v>
      </c>
      <c r="AB9" s="11" t="s">
        <v>52</v>
      </c>
      <c r="AC9" s="11" t="s">
        <v>52</v>
      </c>
      <c r="AD9" s="11"/>
      <c r="AE9" s="11" t="s">
        <v>53</v>
      </c>
      <c r="AF9" s="11" t="s">
        <v>52</v>
      </c>
      <c r="AG9" s="11" t="s">
        <v>53</v>
      </c>
      <c r="AH9" s="11" t="s">
        <v>52</v>
      </c>
      <c r="AI9" s="11" t="s">
        <v>53</v>
      </c>
      <c r="AJ9" s="20">
        <f t="shared" ref="AJ9:AJ17" si="2">COUNTIF(E9:AI9,"A")</f>
        <v>6</v>
      </c>
      <c r="AK9" s="20">
        <f t="shared" ref="AK9:AK17" si="3">31-AJ9</f>
        <v>25</v>
      </c>
    </row>
    <row r="10" spans="1:37" ht="15.75" x14ac:dyDescent="0.25">
      <c r="A10" s="3" t="s">
        <v>21</v>
      </c>
      <c r="B10" s="3" t="s">
        <v>31</v>
      </c>
      <c r="C10" s="3" t="s">
        <v>41</v>
      </c>
      <c r="D10" s="16"/>
      <c r="E10" s="11" t="s">
        <v>52</v>
      </c>
      <c r="F10" s="11" t="s">
        <v>52</v>
      </c>
      <c r="G10" s="11" t="s">
        <v>52</v>
      </c>
      <c r="H10" s="11" t="s">
        <v>52</v>
      </c>
      <c r="I10" s="11"/>
      <c r="J10" s="11" t="s">
        <v>53</v>
      </c>
      <c r="K10" s="11" t="s">
        <v>52</v>
      </c>
      <c r="L10" s="11" t="s">
        <v>52</v>
      </c>
      <c r="M10" s="11" t="s">
        <v>52</v>
      </c>
      <c r="N10" s="11" t="s">
        <v>52</v>
      </c>
      <c r="O10" s="11" t="s">
        <v>52</v>
      </c>
      <c r="P10" s="11"/>
      <c r="Q10" s="11" t="s">
        <v>53</v>
      </c>
      <c r="R10" s="11" t="s">
        <v>52</v>
      </c>
      <c r="S10" s="11" t="s">
        <v>52</v>
      </c>
      <c r="T10" s="11" t="s">
        <v>52</v>
      </c>
      <c r="U10" s="11" t="s">
        <v>52</v>
      </c>
      <c r="V10" s="11" t="s">
        <v>52</v>
      </c>
      <c r="W10" s="11"/>
      <c r="X10" s="11" t="s">
        <v>53</v>
      </c>
      <c r="Y10" s="11" t="s">
        <v>53</v>
      </c>
      <c r="Z10" s="11" t="s">
        <v>52</v>
      </c>
      <c r="AA10" s="11" t="s">
        <v>52</v>
      </c>
      <c r="AB10" s="11" t="s">
        <v>52</v>
      </c>
      <c r="AC10" s="11" t="s">
        <v>52</v>
      </c>
      <c r="AD10" s="11"/>
      <c r="AE10" s="11" t="s">
        <v>53</v>
      </c>
      <c r="AF10" s="11" t="s">
        <v>52</v>
      </c>
      <c r="AG10" s="11" t="s">
        <v>52</v>
      </c>
      <c r="AH10" s="11" t="s">
        <v>52</v>
      </c>
      <c r="AI10" s="11" t="s">
        <v>52</v>
      </c>
      <c r="AJ10" s="20">
        <f t="shared" si="2"/>
        <v>5</v>
      </c>
      <c r="AK10" s="20">
        <f t="shared" si="3"/>
        <v>26</v>
      </c>
    </row>
    <row r="11" spans="1:37" ht="15.75" x14ac:dyDescent="0.25">
      <c r="A11" s="3" t="s">
        <v>22</v>
      </c>
      <c r="B11" s="3" t="s">
        <v>32</v>
      </c>
      <c r="C11" s="3" t="s">
        <v>42</v>
      </c>
      <c r="D11" s="16"/>
      <c r="E11" s="11" t="s">
        <v>52</v>
      </c>
      <c r="F11" s="11" t="s">
        <v>52</v>
      </c>
      <c r="G11" s="11" t="s">
        <v>52</v>
      </c>
      <c r="H11" s="11" t="s">
        <v>52</v>
      </c>
      <c r="I11" s="11"/>
      <c r="J11" s="11" t="s">
        <v>53</v>
      </c>
      <c r="K11" s="11" t="s">
        <v>52</v>
      </c>
      <c r="L11" s="11" t="s">
        <v>52</v>
      </c>
      <c r="M11" s="11" t="s">
        <v>52</v>
      </c>
      <c r="N11" s="11" t="s">
        <v>52</v>
      </c>
      <c r="O11" s="11" t="s">
        <v>52</v>
      </c>
      <c r="P11" s="11"/>
      <c r="Q11" s="11" t="s">
        <v>53</v>
      </c>
      <c r="R11" s="11" t="s">
        <v>52</v>
      </c>
      <c r="S11" s="11" t="s">
        <v>52</v>
      </c>
      <c r="T11" s="11" t="s">
        <v>52</v>
      </c>
      <c r="U11" s="11" t="s">
        <v>52</v>
      </c>
      <c r="V11" s="11" t="s">
        <v>52</v>
      </c>
      <c r="W11" s="11"/>
      <c r="X11" s="11" t="s">
        <v>53</v>
      </c>
      <c r="Y11" s="11" t="s">
        <v>52</v>
      </c>
      <c r="Z11" s="11" t="s">
        <v>53</v>
      </c>
      <c r="AA11" s="11" t="s">
        <v>52</v>
      </c>
      <c r="AB11" s="11" t="s">
        <v>53</v>
      </c>
      <c r="AC11" s="11" t="s">
        <v>52</v>
      </c>
      <c r="AD11" s="11"/>
      <c r="AE11" s="11" t="s">
        <v>53</v>
      </c>
      <c r="AF11" s="11" t="s">
        <v>52</v>
      </c>
      <c r="AG11" s="11" t="s">
        <v>52</v>
      </c>
      <c r="AH11" s="11" t="s">
        <v>52</v>
      </c>
      <c r="AI11" s="11" t="s">
        <v>52</v>
      </c>
      <c r="AJ11" s="20">
        <f t="shared" si="2"/>
        <v>6</v>
      </c>
      <c r="AK11" s="20">
        <f t="shared" si="3"/>
        <v>25</v>
      </c>
    </row>
    <row r="12" spans="1:37" ht="15.75" x14ac:dyDescent="0.25">
      <c r="A12" s="3" t="s">
        <v>23</v>
      </c>
      <c r="B12" s="3" t="s">
        <v>33</v>
      </c>
      <c r="C12" s="3" t="s">
        <v>43</v>
      </c>
      <c r="D12" s="16"/>
      <c r="E12" s="11" t="s">
        <v>52</v>
      </c>
      <c r="F12" s="11" t="s">
        <v>52</v>
      </c>
      <c r="G12" s="11" t="s">
        <v>52</v>
      </c>
      <c r="H12" s="11" t="s">
        <v>52</v>
      </c>
      <c r="I12" s="11"/>
      <c r="J12" s="11" t="s">
        <v>53</v>
      </c>
      <c r="K12" s="11" t="s">
        <v>52</v>
      </c>
      <c r="L12" s="11" t="s">
        <v>52</v>
      </c>
      <c r="M12" s="11" t="s">
        <v>52</v>
      </c>
      <c r="N12" s="11" t="s">
        <v>52</v>
      </c>
      <c r="O12" s="11" t="s">
        <v>52</v>
      </c>
      <c r="P12" s="11"/>
      <c r="Q12" s="11" t="s">
        <v>53</v>
      </c>
      <c r="R12" s="11" t="s">
        <v>52</v>
      </c>
      <c r="S12" s="11" t="s">
        <v>52</v>
      </c>
      <c r="T12" s="11" t="s">
        <v>52</v>
      </c>
      <c r="U12" s="11" t="s">
        <v>52</v>
      </c>
      <c r="V12" s="11" t="s">
        <v>52</v>
      </c>
      <c r="W12" s="11"/>
      <c r="X12" s="11" t="s">
        <v>53</v>
      </c>
      <c r="Y12" s="11" t="s">
        <v>53</v>
      </c>
      <c r="Z12" s="11" t="s">
        <v>52</v>
      </c>
      <c r="AA12" s="11" t="s">
        <v>53</v>
      </c>
      <c r="AB12" s="11" t="s">
        <v>52</v>
      </c>
      <c r="AC12" s="11" t="s">
        <v>52</v>
      </c>
      <c r="AD12" s="11"/>
      <c r="AE12" s="11" t="s">
        <v>53</v>
      </c>
      <c r="AF12" s="11" t="s">
        <v>52</v>
      </c>
      <c r="AG12" s="11" t="s">
        <v>53</v>
      </c>
      <c r="AH12" s="11" t="s">
        <v>52</v>
      </c>
      <c r="AI12" s="11" t="s">
        <v>52</v>
      </c>
      <c r="AJ12" s="20">
        <f t="shared" si="2"/>
        <v>7</v>
      </c>
      <c r="AK12" s="20">
        <f t="shared" si="3"/>
        <v>24</v>
      </c>
    </row>
    <row r="13" spans="1:37" ht="15.75" x14ac:dyDescent="0.25">
      <c r="A13" s="3" t="s">
        <v>24</v>
      </c>
      <c r="B13" s="3" t="s">
        <v>34</v>
      </c>
      <c r="C13" s="3" t="s">
        <v>44</v>
      </c>
      <c r="D13" s="16"/>
      <c r="E13" s="11" t="s">
        <v>52</v>
      </c>
      <c r="F13" s="11" t="s">
        <v>52</v>
      </c>
      <c r="G13" s="11" t="s">
        <v>52</v>
      </c>
      <c r="H13" s="11" t="s">
        <v>52</v>
      </c>
      <c r="I13" s="11"/>
      <c r="J13" s="11" t="s">
        <v>53</v>
      </c>
      <c r="K13" s="11" t="s">
        <v>52</v>
      </c>
      <c r="L13" s="11" t="s">
        <v>52</v>
      </c>
      <c r="M13" s="11" t="s">
        <v>52</v>
      </c>
      <c r="N13" s="11" t="s">
        <v>52</v>
      </c>
      <c r="O13" s="11" t="s">
        <v>52</v>
      </c>
      <c r="P13" s="11"/>
      <c r="Q13" s="11" t="s">
        <v>53</v>
      </c>
      <c r="R13" s="11" t="s">
        <v>52</v>
      </c>
      <c r="S13" s="11" t="s">
        <v>52</v>
      </c>
      <c r="T13" s="11" t="s">
        <v>52</v>
      </c>
      <c r="U13" s="11" t="s">
        <v>52</v>
      </c>
      <c r="V13" s="11" t="s">
        <v>52</v>
      </c>
      <c r="W13" s="11"/>
      <c r="X13" s="11" t="s">
        <v>53</v>
      </c>
      <c r="Y13" s="11" t="s">
        <v>52</v>
      </c>
      <c r="Z13" s="11" t="s">
        <v>52</v>
      </c>
      <c r="AA13" s="11" t="s">
        <v>52</v>
      </c>
      <c r="AB13" s="11" t="s">
        <v>52</v>
      </c>
      <c r="AC13" s="11" t="s">
        <v>52</v>
      </c>
      <c r="AD13" s="11"/>
      <c r="AE13" s="11" t="s">
        <v>53</v>
      </c>
      <c r="AF13" s="11" t="s">
        <v>52</v>
      </c>
      <c r="AG13" s="11" t="s">
        <v>52</v>
      </c>
      <c r="AH13" s="11" t="s">
        <v>52</v>
      </c>
      <c r="AI13" s="11" t="s">
        <v>52</v>
      </c>
      <c r="AJ13" s="20">
        <f t="shared" si="2"/>
        <v>4</v>
      </c>
      <c r="AK13" s="20">
        <f t="shared" si="3"/>
        <v>27</v>
      </c>
    </row>
    <row r="14" spans="1:37" ht="15.75" x14ac:dyDescent="0.25">
      <c r="A14" s="3" t="s">
        <v>25</v>
      </c>
      <c r="B14" s="3" t="s">
        <v>35</v>
      </c>
      <c r="C14" s="3" t="s">
        <v>45</v>
      </c>
      <c r="D14" s="16"/>
      <c r="E14" s="11" t="s">
        <v>52</v>
      </c>
      <c r="F14" s="11" t="s">
        <v>52</v>
      </c>
      <c r="G14" s="11" t="s">
        <v>52</v>
      </c>
      <c r="H14" s="11" t="s">
        <v>52</v>
      </c>
      <c r="I14" s="11"/>
      <c r="J14" s="11" t="s">
        <v>53</v>
      </c>
      <c r="K14" s="11" t="s">
        <v>52</v>
      </c>
      <c r="L14" s="11" t="s">
        <v>52</v>
      </c>
      <c r="M14" s="11" t="s">
        <v>52</v>
      </c>
      <c r="N14" s="11" t="s">
        <v>52</v>
      </c>
      <c r="O14" s="11" t="s">
        <v>52</v>
      </c>
      <c r="P14" s="11"/>
      <c r="Q14" s="11" t="s">
        <v>53</v>
      </c>
      <c r="R14" s="11" t="s">
        <v>52</v>
      </c>
      <c r="S14" s="11" t="s">
        <v>52</v>
      </c>
      <c r="T14" s="11" t="s">
        <v>52</v>
      </c>
      <c r="U14" s="11" t="s">
        <v>52</v>
      </c>
      <c r="V14" s="11" t="s">
        <v>52</v>
      </c>
      <c r="W14" s="11"/>
      <c r="X14" s="11" t="s">
        <v>53</v>
      </c>
      <c r="Y14" s="11" t="s">
        <v>52</v>
      </c>
      <c r="Z14" s="11" t="s">
        <v>52</v>
      </c>
      <c r="AA14" s="11" t="s">
        <v>52</v>
      </c>
      <c r="AB14" s="11" t="s">
        <v>52</v>
      </c>
      <c r="AC14" s="11" t="s">
        <v>53</v>
      </c>
      <c r="AD14" s="11"/>
      <c r="AE14" s="11" t="s">
        <v>53</v>
      </c>
      <c r="AF14" s="11" t="s">
        <v>53</v>
      </c>
      <c r="AG14" s="11" t="s">
        <v>52</v>
      </c>
      <c r="AH14" s="11" t="s">
        <v>52</v>
      </c>
      <c r="AI14" s="11" t="s">
        <v>52</v>
      </c>
      <c r="AJ14" s="20">
        <f t="shared" si="2"/>
        <v>6</v>
      </c>
      <c r="AK14" s="20">
        <f t="shared" si="3"/>
        <v>25</v>
      </c>
    </row>
    <row r="15" spans="1:37" ht="15.75" x14ac:dyDescent="0.25">
      <c r="A15" s="3" t="s">
        <v>26</v>
      </c>
      <c r="B15" s="3" t="s">
        <v>36</v>
      </c>
      <c r="C15" s="3" t="s">
        <v>46</v>
      </c>
      <c r="D15" s="16"/>
      <c r="E15" s="11" t="s">
        <v>52</v>
      </c>
      <c r="F15" s="11" t="s">
        <v>52</v>
      </c>
      <c r="G15" s="11" t="s">
        <v>52</v>
      </c>
      <c r="H15" s="11" t="s">
        <v>52</v>
      </c>
      <c r="I15" s="11"/>
      <c r="J15" s="11" t="s">
        <v>53</v>
      </c>
      <c r="K15" s="11" t="s">
        <v>52</v>
      </c>
      <c r="L15" s="11" t="s">
        <v>52</v>
      </c>
      <c r="M15" s="11" t="s">
        <v>52</v>
      </c>
      <c r="N15" s="11" t="s">
        <v>52</v>
      </c>
      <c r="O15" s="11" t="s">
        <v>52</v>
      </c>
      <c r="P15" s="11"/>
      <c r="Q15" s="11" t="s">
        <v>53</v>
      </c>
      <c r="R15" s="11" t="s">
        <v>52</v>
      </c>
      <c r="S15" s="11" t="s">
        <v>52</v>
      </c>
      <c r="T15" s="11" t="s">
        <v>52</v>
      </c>
      <c r="U15" s="11" t="s">
        <v>52</v>
      </c>
      <c r="V15" s="11" t="s">
        <v>52</v>
      </c>
      <c r="W15" s="11"/>
      <c r="X15" s="11" t="s">
        <v>53</v>
      </c>
      <c r="Y15" s="11" t="s">
        <v>52</v>
      </c>
      <c r="Z15" s="11" t="s">
        <v>52</v>
      </c>
      <c r="AA15" s="11" t="s">
        <v>52</v>
      </c>
      <c r="AB15" s="11" t="s">
        <v>52</v>
      </c>
      <c r="AC15" s="11" t="s">
        <v>52</v>
      </c>
      <c r="AD15" s="11"/>
      <c r="AE15" s="11" t="s">
        <v>53</v>
      </c>
      <c r="AF15" s="11" t="s">
        <v>52</v>
      </c>
      <c r="AG15" s="11" t="s">
        <v>52</v>
      </c>
      <c r="AH15" s="11" t="s">
        <v>52</v>
      </c>
      <c r="AI15" s="11" t="s">
        <v>52</v>
      </c>
      <c r="AJ15" s="20">
        <f t="shared" si="2"/>
        <v>4</v>
      </c>
      <c r="AK15" s="20">
        <f t="shared" si="3"/>
        <v>27</v>
      </c>
    </row>
    <row r="16" spans="1:37" ht="15.75" x14ac:dyDescent="0.25">
      <c r="A16" s="3" t="s">
        <v>27</v>
      </c>
      <c r="B16" s="3" t="s">
        <v>37</v>
      </c>
      <c r="C16" s="3" t="s">
        <v>47</v>
      </c>
      <c r="D16" s="16"/>
      <c r="E16" s="11" t="s">
        <v>52</v>
      </c>
      <c r="F16" s="11" t="s">
        <v>52</v>
      </c>
      <c r="G16" s="11" t="s">
        <v>52</v>
      </c>
      <c r="H16" s="11" t="s">
        <v>52</v>
      </c>
      <c r="I16" s="11"/>
      <c r="J16" s="11" t="s">
        <v>53</v>
      </c>
      <c r="K16" s="11" t="s">
        <v>52</v>
      </c>
      <c r="L16" s="11" t="s">
        <v>52</v>
      </c>
      <c r="M16" s="11" t="s">
        <v>52</v>
      </c>
      <c r="N16" s="11" t="s">
        <v>52</v>
      </c>
      <c r="O16" s="11" t="s">
        <v>52</v>
      </c>
      <c r="P16" s="11"/>
      <c r="Q16" s="11" t="s">
        <v>53</v>
      </c>
      <c r="R16" s="11" t="s">
        <v>52</v>
      </c>
      <c r="S16" s="11" t="s">
        <v>52</v>
      </c>
      <c r="T16" s="11" t="s">
        <v>52</v>
      </c>
      <c r="U16" s="11" t="s">
        <v>52</v>
      </c>
      <c r="V16" s="11" t="s">
        <v>52</v>
      </c>
      <c r="W16" s="11"/>
      <c r="X16" s="11" t="s">
        <v>53</v>
      </c>
      <c r="Y16" s="11" t="s">
        <v>52</v>
      </c>
      <c r="Z16" s="11" t="s">
        <v>52</v>
      </c>
      <c r="AA16" s="11" t="s">
        <v>52</v>
      </c>
      <c r="AB16" s="11" t="s">
        <v>52</v>
      </c>
      <c r="AC16" s="11" t="s">
        <v>52</v>
      </c>
      <c r="AD16" s="11"/>
      <c r="AE16" s="11" t="s">
        <v>53</v>
      </c>
      <c r="AF16" s="11" t="s">
        <v>52</v>
      </c>
      <c r="AG16" s="11" t="s">
        <v>52</v>
      </c>
      <c r="AH16" s="11" t="s">
        <v>52</v>
      </c>
      <c r="AI16" s="11" t="s">
        <v>52</v>
      </c>
      <c r="AJ16" s="20">
        <f t="shared" si="2"/>
        <v>4</v>
      </c>
      <c r="AK16" s="20">
        <f t="shared" si="3"/>
        <v>27</v>
      </c>
    </row>
    <row r="17" spans="1:37" ht="15.75" x14ac:dyDescent="0.25">
      <c r="A17" s="3" t="s">
        <v>28</v>
      </c>
      <c r="B17" s="3" t="s">
        <v>38</v>
      </c>
      <c r="C17" s="3" t="s">
        <v>48</v>
      </c>
      <c r="D17" s="17"/>
      <c r="E17" s="11" t="s">
        <v>52</v>
      </c>
      <c r="F17" s="11" t="s">
        <v>52</v>
      </c>
      <c r="G17" s="11" t="s">
        <v>52</v>
      </c>
      <c r="H17" s="11" t="s">
        <v>52</v>
      </c>
      <c r="I17" s="11"/>
      <c r="J17" s="11" t="s">
        <v>53</v>
      </c>
      <c r="K17" s="11" t="s">
        <v>52</v>
      </c>
      <c r="L17" s="11" t="s">
        <v>52</v>
      </c>
      <c r="M17" s="11" t="s">
        <v>52</v>
      </c>
      <c r="N17" s="11" t="s">
        <v>52</v>
      </c>
      <c r="O17" s="11" t="s">
        <v>52</v>
      </c>
      <c r="P17" s="11"/>
      <c r="Q17" s="11" t="s">
        <v>53</v>
      </c>
      <c r="R17" s="11" t="s">
        <v>52</v>
      </c>
      <c r="S17" s="11" t="s">
        <v>52</v>
      </c>
      <c r="T17" s="11" t="s">
        <v>52</v>
      </c>
      <c r="U17" s="11" t="s">
        <v>52</v>
      </c>
      <c r="V17" s="11" t="s">
        <v>52</v>
      </c>
      <c r="W17" s="11"/>
      <c r="X17" s="11" t="s">
        <v>53</v>
      </c>
      <c r="Y17" s="11" t="s">
        <v>52</v>
      </c>
      <c r="Z17" s="11" t="s">
        <v>52</v>
      </c>
      <c r="AA17" s="11" t="s">
        <v>52</v>
      </c>
      <c r="AB17" s="11" t="s">
        <v>52</v>
      </c>
      <c r="AC17" s="11" t="s">
        <v>52</v>
      </c>
      <c r="AD17" s="11"/>
      <c r="AE17" s="11" t="s">
        <v>53</v>
      </c>
      <c r="AF17" s="11" t="s">
        <v>52</v>
      </c>
      <c r="AG17" s="11" t="s">
        <v>52</v>
      </c>
      <c r="AH17" s="11" t="s">
        <v>52</v>
      </c>
      <c r="AI17" s="11" t="s">
        <v>52</v>
      </c>
      <c r="AJ17" s="20">
        <f t="shared" si="2"/>
        <v>4</v>
      </c>
      <c r="AK17" s="20">
        <f t="shared" si="3"/>
        <v>27</v>
      </c>
    </row>
  </sheetData>
  <mergeCells count="7">
    <mergeCell ref="A1:AK2"/>
    <mergeCell ref="A6:A7"/>
    <mergeCell ref="B6:B7"/>
    <mergeCell ref="C6:C7"/>
    <mergeCell ref="D8:D17"/>
    <mergeCell ref="AJ6:AJ7"/>
    <mergeCell ref="AK6:AK7"/>
  </mergeCells>
  <conditionalFormatting sqref="E8:AI17">
    <cfRule type="expression" dxfId="56" priority="7">
      <formula>E$7="sun"</formula>
    </cfRule>
  </conditionalFormatting>
  <conditionalFormatting sqref="E8:AI17">
    <cfRule type="expression" dxfId="55" priority="6">
      <formula>E$7="sun"</formula>
    </cfRule>
  </conditionalFormatting>
  <conditionalFormatting sqref="E8:AI17">
    <cfRule type="expression" dxfId="54" priority="5">
      <formula>E$7="sun"</formula>
    </cfRule>
  </conditionalFormatting>
  <conditionalFormatting sqref="E8:AI17">
    <cfRule type="expression" dxfId="53" priority="4">
      <formula>$E$7="sun"</formula>
    </cfRule>
  </conditionalFormatting>
  <conditionalFormatting sqref="E8:AI17">
    <cfRule type="expression" dxfId="52" priority="3">
      <formula>E7="SUN"</formula>
    </cfRule>
  </conditionalFormatting>
  <conditionalFormatting sqref="E8:AI17">
    <cfRule type="expression" dxfId="51" priority="2">
      <formula>$E7="sun"</formula>
    </cfRule>
  </conditionalFormatting>
  <conditionalFormatting sqref="E8:AI17">
    <cfRule type="expression" dxfId="50" priority="1">
      <formula>E$7="sun"</formula>
    </cfRule>
  </conditionalFormatting>
  <dataValidations count="2">
    <dataValidation type="list" allowBlank="1" showInputMessage="1" showErrorMessage="1" sqref="B4">
      <formula1>MONTH</formula1>
    </dataValidation>
    <dataValidation type="custom" allowBlank="1" showInputMessage="1" showErrorMessage="1" errorTitle="SUNDAY BLOCKED" error="ENTRY NOT ALLOWED" sqref="E8:AI17">
      <formula1>WEEKDAY(E$6, 2)&lt;&gt;7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>
      <selection activeCell="G14" sqref="G14"/>
    </sheetView>
  </sheetViews>
  <sheetFormatPr defaultRowHeight="15" x14ac:dyDescent="0.25"/>
  <cols>
    <col min="1" max="1" width="11.140625" bestFit="1" customWidth="1"/>
  </cols>
  <sheetData>
    <row r="1" spans="1:1" x14ac:dyDescent="0.25">
      <c r="A1" s="1" t="s">
        <v>2</v>
      </c>
    </row>
    <row r="2" spans="1:1" x14ac:dyDescent="0.25">
      <c r="A2" s="1" t="s">
        <v>3</v>
      </c>
    </row>
    <row r="3" spans="1:1" x14ac:dyDescent="0.25">
      <c r="A3" s="1" t="s">
        <v>4</v>
      </c>
    </row>
    <row r="4" spans="1:1" x14ac:dyDescent="0.25">
      <c r="A4" s="1" t="s">
        <v>5</v>
      </c>
    </row>
    <row r="5" spans="1:1" x14ac:dyDescent="0.25">
      <c r="A5" s="1" t="s">
        <v>6</v>
      </c>
    </row>
    <row r="6" spans="1:1" x14ac:dyDescent="0.25">
      <c r="A6" s="1" t="s">
        <v>7</v>
      </c>
    </row>
    <row r="7" spans="1:1" x14ac:dyDescent="0.25">
      <c r="A7" s="1" t="s">
        <v>8</v>
      </c>
    </row>
    <row r="8" spans="1:1" x14ac:dyDescent="0.25">
      <c r="A8" s="1" t="s">
        <v>9</v>
      </c>
    </row>
    <row r="9" spans="1:1" x14ac:dyDescent="0.25">
      <c r="A9" s="1" t="s">
        <v>10</v>
      </c>
    </row>
    <row r="10" spans="1:1" x14ac:dyDescent="0.25">
      <c r="A10" s="1" t="s">
        <v>11</v>
      </c>
    </row>
    <row r="11" spans="1:1" x14ac:dyDescent="0.25">
      <c r="A11" s="1" t="s">
        <v>12</v>
      </c>
    </row>
    <row r="12" spans="1:1" x14ac:dyDescent="0.25">
      <c r="A12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MONTH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2026-02-06T05:00:53Z</dcterms:modified>
</cp:coreProperties>
</file>